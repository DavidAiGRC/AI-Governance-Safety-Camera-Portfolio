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1ecbf23ab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123619b5604046f2"/>
    <x:sheet xmlns:r="http://schemas.openxmlformats.org/officeDocument/2006/relationships" name="Legend &amp; Instructions" sheetId="2" r:id="R7b180602eec24cdc"/>
    <x:sheet xmlns:r="http://schemas.openxmlformats.org/officeDocument/2006/relationships" name="Portfolio Metadata" sheetId="3" r:id="R5b0424dbf9aa4b5e"/>
  </x:sheets>
</x:workbook>
</file>

<file path=xl/sharedStrings.xml><?xml version="1.0" encoding="utf-8"?>
<x:sst xmlns:x="http://schemas.openxmlformats.org/spreadsheetml/2006/main">
  <x:si>
    <x:t xml:space="preserve">Risk ID</x:t>
  </x:si>
  <x:si>
    <x:t xml:space="preserve">Risk Description</x:t>
  </x:si>
  <x:si>
    <x:t xml:space="preserve">NIST RMF
Function</x:t>
  </x:si>
  <x:si>
    <x:t xml:space="preserve">Likelihood
(1-5)</x:t>
  </x:si>
  <x:si>
    <x:t xml:space="preserve">Impact
(1-5)</x:t>
  </x:si>
  <x:si>
    <x:t xml:space="preserve">Risk Score</x:t>
  </x:si>
  <x:si>
    <x:t xml:space="preserve">Risk Rating</x:t>
  </x:si>
  <x:si>
    <x:t xml:space="preserve">Current Controls</x:t>
  </x:si>
  <x:si>
    <x:t xml:space="preserve">Planned Mitigation (POA&amp;M)</x:t>
  </x:si>
  <x:si>
    <x:t xml:space="preserve">Owner</x:t>
  </x:si>
  <x:si>
    <x:t xml:space="preserve">Due Date</x:t>
  </x:si>
  <x:si>
    <x:t xml:space="preserve">Status</x:t>
  </x:si>
  <x:si>
    <x:t xml:space="preserve">Date Identified</x:t>
  </x:si>
  <x:si>
    <x:t xml:space="preserve">Last Updated</x:t>
  </x:si>
  <x:si>
    <x:t xml:space="preserve">RISK-001</x:t>
  </x:si>
  <x:si>
    <x:t xml:space="preserve">Detection accuracy not validated across site lighting, PPE variation, or worker demographics</x:t>
  </x:si>
  <x:si>
    <x:t xml:space="preserve">Measure</x:t>
  </x:si>
  <x:si>
    <x:t xml:space="preserve">Vendor benchmark data only; no site-specific testing</x:t>
  </x:si>
  <x:si>
    <x:t xml:space="preserve">Commission independent accuracy &amp; fairness validation study covering lighting, PPE, and demographic variation</x:t>
  </x:si>
  <x:si>
    <x:t xml:space="preserve">AI Governance Lead</x:t>
  </x:si>
  <x:si>
    <x:t xml:space="preserve">2026-11-15</x:t>
  </x:si>
  <x:si>
    <x:t xml:space="preserve">Open</x:t>
  </x:si>
  <x:si>
    <x:t xml:space="preserve">RISK-002</x:t>
  </x:si>
  <x:si>
    <x:t xml:space="preserve">No named accountable owner for the safety camera AI system</x:t>
  </x:si>
  <x:si>
    <x:t xml:space="preserve">Govern</x:t>
  </x:si>
  <x:si>
    <x:t xml:space="preserve">Informal split between EHS and IT</x:t>
  </x:si>
  <x:si>
    <x:t xml:space="preserve">Formally name EHS Safety Director as accountable owner; document in AI System Register</x:t>
  </x:si>
  <x:si>
    <x:t xml:space="preserve">EHS Safety Director</x:t>
  </x:si>
  <x:si>
    <x:t xml:space="preserve">2026-09-05</x:t>
  </x:si>
  <x:si>
    <x:t xml:space="preserve">RISK-003</x:t>
  </x:si>
  <x:si>
    <x:t xml:space="preserve">No AI-specific acceptable use policy in force</x:t>
  </x:si>
  <x:si>
    <x:t xml:space="preserve">General IT acceptable use policy exists but doesn't cover AI-specific risk</x:t>
  </x:si>
  <x:si>
    <x:t xml:space="preserve">Adopt drafted Acceptable Use Policy; route through Legal and EHS sign-off</x:t>
  </x:si>
  <x:si>
    <x:t xml:space="preserve">RISK-004</x:t>
  </x:si>
  <x:si>
    <x:t xml:space="preserve">No defined incident protocol when AI fails to catch a real hazard</x:t>
  </x:si>
  <x:si>
    <x:t xml:space="preserve">Manage</x:t>
  </x:si>
  <x:si>
    <x:t xml:space="preserve">Standard EHS incident investigation process exists but lacks an AI-specific root-cause category</x:t>
  </x:si>
  <x:si>
    <x:t xml:space="preserve">Add 'AI system contribution' category to incident investigation template; define escalation path</x:t>
  </x:si>
  <x:si>
    <x:t xml:space="preserve">2026-10-01</x:t>
  </x:si>
  <x:si>
    <x:t xml:space="preserve">RISK-005</x:t>
  </x:si>
  <x:si>
    <x:t xml:space="preserve">No documented consequence analysis for false positives vs. false negatives</x:t>
  </x:si>
  <x:si>
    <x:t xml:space="preserve">Map</x:t>
  </x:si>
  <x:si>
    <x:t xml:space="preserve">Anecdotal awareness among supervisors only</x:t>
  </x:si>
  <x:si>
    <x:t xml:space="preserve">Conduct formal impact analysis weighting false negatives (missed hazards) above false positives</x:t>
  </x:si>
  <x:si>
    <x:t xml:space="preserve">2026-10-15</x:t>
  </x:si>
  <x:si>
    <x:t xml:space="preserve">RISK-006</x:t>
  </x:si>
  <x:si>
    <x:t xml:space="preserve">No pre-defined criteria or authority to roll back / pause the system if found unsafe</x:t>
  </x:si>
  <x:si>
    <x:t xml:space="preserve">Technically possible via IT; no documented trigger or decision authority</x:t>
  </x:si>
  <x:si>
    <x:t xml:space="preserve">Document rollback criteria and named joint EHS/AI Governance decision authority</x:t>
  </x:si>
  <x:si>
    <x:t xml:space="preserve">IT Security</x:t>
  </x:si>
  <x:si>
    <x:t xml:space="preserve">RISK-007</x:t>
  </x:si>
  <x:si>
    <x:t xml:space="preserve">Workers not formally notified of AI monitoring at all site zones</x:t>
  </x:si>
  <x:si>
    <x:t xml:space="preserve">Partial signage in some zones; no onboarding disclosure</x:t>
  </x:si>
  <x:si>
    <x:t xml:space="preserve">Roll out standardized signage and add disclosure to new-hire onboarding</x:t>
  </x:si>
  <x:si>
    <x:t xml:space="preserve">Site Supervisor</x:t>
  </x:si>
  <x:si>
    <x:t xml:space="preserve">2026-09-20</x:t>
  </x:si>
  <x:si>
    <x:t xml:space="preserve">RISK-008</x:t>
  </x:si>
  <x:si>
    <x:t xml:space="preserve">No ongoing performance monitoring dashboard post-deployment</x:t>
  </x:si>
  <x:si>
    <x:t xml:space="preserve">Vendor provides periodic model updates only; no internal tracking</x:t>
  </x:si>
  <x:si>
    <x:t xml:space="preserve">Stand up quarterly performance review using logged alerts vs. confirmed incidents</x:t>
  </x:si>
  <x:si>
    <x:t xml:space="preserve">2026-12-01</x:t>
  </x:si>
  <x:si>
    <x:t xml:space="preserve">How to use this register</x:t>
  </x:si>
  <x:si>
    <x:t xml:space="preserve">Each row is a discrete AI governance risk. Risk Score = Likelihood x Impact (auto-calculated). Risk Rating is auto-derived: High &gt;= 15, Medium 8-14, Low &lt;= 7.</x:t>
  </x:si>
  <x:si>
    <x:t xml:space="preserve">Scoring guide (Likelihood and Impact, 1-5 each):</x:t>
  </x:si>
  <x:si>
    <x:t xml:space="preserve">1 = Rare / Negligible   3 = Possible / Moderate   5 = Almost Certain / Severe (safety incident or regulatory action)</x:t>
  </x:si>
  <x:si>
    <x:t xml:space="preserve">Update cadence: Owners should update Status and Last Updated at minimum monthly for High risks, quarterly for Medium/Low.</x:t>
  </x:si>
  <x:si>
    <x:t xml:space="preserve">Yellow-filled cells (Status, Due Date, Last Updated) are the fields owners are expected to actively maintain.</x:t>
  </x:si>
  <x:si>
    <x:t xml:space="preserve">This register is the operational companion to the NIST AI RMF Gap Assessment — each risk traces back to a specific finding there.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</x:si>
</x:sst>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m/d/yyyy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2"/>
      <x:name val="Arial"/>
    </x:font>
    <x:font>
      <x:sz val="11"/>
      <x:name val="Arial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FF2CC"/>
      </x:patternFill>
    </x:fill>
  </x:fills>
  <x:borders count="4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1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top" wrapText="1"/>
    </x:xf>
    <x:xf numFmtId="164" fontId="5" fillId="3" borderId="1" xfId="0" applyFont="1" applyBorder="1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1" fillId="3" borderId="3" xfId="0" applyNumberFormat="1" applyFont="1" applyFill="1" applyBorder="1" applyAlignment="1">
      <x:alignment horizontal="general" vertical="top" wrapText="1"/>
    </x:xf>
    <x:xf numFmtId="164" fontId="6" fillId="0" borderId="2" xfId="0" applyNumberFormat="1" applyFont="1" applyFill="1" applyBorder="1" applyAlignment="1">
      <x:alignment horizontal="general" vertical="top" wrapText="1"/>
    </x:xf>
    <x:xf numFmtId="164" fontId="7" fillId="0" borderId="2" xfId="0" applyNumberFormat="1" applyFont="1" applyFill="1" applyBorder="1" applyAlignment="1">
      <x:alignment horizontal="general" vertical="top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8" fillId="0" borderId="2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8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C6E0B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0B4"/>
      <x:rgbColor rgb="FFFFE699"/>
      <x:rgbColor rgb="FF99CCFF"/>
      <x:rgbColor rgb="FFFF99CC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4E5F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12c0972ec4686" /><Relationship Type="http://schemas.openxmlformats.org/officeDocument/2006/relationships/theme" Target="/xl/theme/theme1.xml" Id="Rad2d641fadcd4901" /><Relationship Type="http://schemas.openxmlformats.org/officeDocument/2006/relationships/sharedStrings" Target="/xl/sharedStrings.xml" Id="Rdac11287c72748db" /><Relationship Type="http://schemas.openxmlformats.org/officeDocument/2006/relationships/worksheet" Target="/xl/worksheets/sheet1.xml" Id="R123619b5604046f2" /><Relationship Type="http://schemas.openxmlformats.org/officeDocument/2006/relationships/worksheet" Target="/xl/worksheets/sheet2.xml" Id="R7b180602eec24cdc" /><Relationship Type="http://schemas.openxmlformats.org/officeDocument/2006/relationships/worksheet" Target="/xl/worksheets/sheet3.xml" Id="R5b0424dbf9aa4b5e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34" hidden="0" customWidth="1"/>
    <x:col min="3" max="3" width="12" hidden="0" customWidth="1"/>
    <x:col min="4" max="4" width="10" hidden="0" customWidth="1"/>
    <x:col min="5" max="5" width="9" hidden="0" customWidth="1"/>
    <x:col min="6" max="6" width="10" hidden="0" customWidth="1"/>
    <x:col min="7" max="7" width="11" hidden="0" customWidth="1"/>
    <x:col min="8" max="8" width="30" hidden="0" customWidth="1"/>
    <x:col min="9" max="9" width="34" hidden="0" customWidth="1"/>
    <x:col min="10" max="10" width="18" hidden="0" customWidth="1"/>
    <x:col min="11" max="11" width="12" hidden="0" customWidth="1"/>
    <x:col min="12" max="14" width="13" hidden="0" customWidth="1"/>
  </x:cols>
  <x:sheetData>
    <x:row r="1" ht="43.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69.75" hidden="0" customHeight="1">
      <x:c r="A2" s="2" t="s">
        <x:v>14</x:v>
      </x:c>
      <x:c r="B2" s="2" t="s">
        <x:v>15</x:v>
      </x:c>
      <x:c r="C2" s="2" t="s">
        <x:v>16</x:v>
      </x:c>
      <x:c r="D2" s="2" t="n">
        <x:v>4</x:v>
      </x:c>
      <x:c r="E2" s="2" t="n">
        <x:v>5</x:v>
      </x:c>
      <x:c r="F2" s="2" t="n">
        <x:f aca="0">D2*E2</x:f>
        <x:v>20</x:v>
      </x:c>
      <x:c r="G2" s="2" t="str">
        <x:f aca="0">IF(F2&gt;=15,"High",IF(F2&gt;=8,"Medium","Low"))</x:f>
        <x:v>High</x:v>
      </x:c>
      <x:c r="H2" s="2" t="s">
        <x:v>17</x:v>
      </x:c>
      <x:c r="I2" s="2" t="s">
        <x:v>18</x:v>
      </x:c>
      <x:c r="J2" s="2" t="s">
        <x:v>19</x:v>
      </x:c>
      <x:c r="K2" s="3" t="s">
        <x:v>20</x:v>
      </x:c>
      <x:c r="L2" s="3" t="s">
        <x:v>21</x:v>
      </x:c>
      <x:c r="M2" s="2" t="s">
        <x:v>21</x:v>
      </x:c>
      <x:c r="N2" s="3" t="s">
        <x:v>21</x:v>
      </x:c>
    </x:row>
    <x:row r="3" ht="69.75" hidden="0" customHeight="1">
      <x:c r="A3" s="2" t="s">
        <x:v>22</x:v>
      </x:c>
      <x:c r="B3" s="2" t="s">
        <x:v>23</x:v>
      </x:c>
      <x:c r="C3" s="2" t="s">
        <x:v>24</x:v>
      </x:c>
      <x:c r="D3" s="2" t="n">
        <x:v>3</x:v>
      </x:c>
      <x:c r="E3" s="2" t="n">
        <x:v>4</x:v>
      </x:c>
      <x:c r="F3" s="2" t="n">
        <x:f aca="0">D3*E3</x:f>
        <x:v>12</x:v>
      </x:c>
      <x:c r="G3" s="2" t="str">
        <x:f aca="0">IF(F3&gt;=15,"High",IF(F3&gt;=8,"Medium","Low"))</x:f>
        <x:v>Medium</x:v>
      </x:c>
      <x:c r="H3" s="2" t="s">
        <x:v>25</x:v>
      </x:c>
      <x:c r="I3" s="2" t="s">
        <x:v>26</x:v>
      </x:c>
      <x:c r="J3" s="2" t="s">
        <x:v>27</x:v>
      </x:c>
      <x:c r="K3" s="3" t="s">
        <x:v>28</x:v>
      </x:c>
      <x:c r="L3" s="3" t="s">
        <x:v>21</x:v>
      </x:c>
      <x:c r="M3" s="2" t="s">
        <x:v>21</x:v>
      </x:c>
      <x:c r="N3" s="3" t="s">
        <x:v>21</x:v>
      </x:c>
    </x:row>
    <x:row r="4" ht="69.75" hidden="0" customHeight="1">
      <x:c r="A4" s="2" t="s">
        <x:v>29</x:v>
      </x:c>
      <x:c r="B4" s="2" t="s">
        <x:v>30</x:v>
      </x:c>
      <x:c r="C4" s="2" t="s">
        <x:v>24</x:v>
      </x:c>
      <x:c r="D4" s="2" t="n">
        <x:v>3</x:v>
      </x:c>
      <x:c r="E4" s="2" t="n">
        <x:v>4</x:v>
      </x:c>
      <x:c r="F4" s="2" t="n">
        <x:f aca="0">D4*E4</x:f>
        <x:v>12</x:v>
      </x:c>
      <x:c r="G4" s="2" t="str">
        <x:f aca="0">IF(F4&gt;=15,"High",IF(F4&gt;=8,"Medium","Low"))</x:f>
        <x:v>Medium</x:v>
      </x:c>
      <x:c r="H4" s="2" t="s">
        <x:v>31</x:v>
      </x:c>
      <x:c r="I4" s="2" t="s">
        <x:v>32</x:v>
      </x:c>
      <x:c r="J4" s="2" t="s">
        <x:v>19</x:v>
      </x:c>
      <x:c r="K4" s="3" t="s">
        <x:v>28</x:v>
      </x:c>
      <x:c r="L4" s="3" t="s">
        <x:v>21</x:v>
      </x:c>
      <x:c r="M4" s="2" t="s">
        <x:v>21</x:v>
      </x:c>
      <x:c r="N4" s="3" t="s">
        <x:v>21</x:v>
      </x:c>
    </x:row>
    <x:row r="5" ht="69.75" hidden="0" customHeight="1">
      <x:c r="A5" s="2" t="s">
        <x:v>33</x:v>
      </x:c>
      <x:c r="B5" s="2" t="s">
        <x:v>34</x:v>
      </x:c>
      <x:c r="C5" s="2" t="s">
        <x:v>35</x:v>
      </x:c>
      <x:c r="D5" s="2" t="n">
        <x:v>3</x:v>
      </x:c>
      <x:c r="E5" s="2" t="n">
        <x:v>5</x:v>
      </x:c>
      <x:c r="F5" s="2" t="n">
        <x:f aca="0">D5*E5</x:f>
        <x:v>15</x:v>
      </x:c>
      <x:c r="G5" s="2" t="str">
        <x:f aca="0">IF(F5&gt;=15,"High",IF(F5&gt;=8,"Medium","Low"))</x:f>
        <x:v>High</x:v>
      </x:c>
      <x:c r="H5" s="2" t="s">
        <x:v>36</x:v>
      </x:c>
      <x:c r="I5" s="2" t="s">
        <x:v>37</x:v>
      </x:c>
      <x:c r="J5" s="2" t="s">
        <x:v>27</x:v>
      </x:c>
      <x:c r="K5" s="3" t="s">
        <x:v>38</x:v>
      </x:c>
      <x:c r="L5" s="3" t="s">
        <x:v>21</x:v>
      </x:c>
      <x:c r="M5" s="2" t="s">
        <x:v>21</x:v>
      </x:c>
      <x:c r="N5" s="3" t="s">
        <x:v>21</x:v>
      </x:c>
    </x:row>
    <x:row r="6" ht="69.75" hidden="0" customHeight="1">
      <x:c r="A6" s="2" t="s">
        <x:v>39</x:v>
      </x:c>
      <x:c r="B6" s="2" t="s">
        <x:v>40</x:v>
      </x:c>
      <x:c r="C6" s="2" t="s">
        <x:v>41</x:v>
      </x:c>
      <x:c r="D6" s="2" t="n">
        <x:v>2</x:v>
      </x:c>
      <x:c r="E6" s="2" t="n">
        <x:v>3</x:v>
      </x:c>
      <x:c r="F6" s="2" t="n">
        <x:f aca="0">D6*E6</x:f>
        <x:v>6</x:v>
      </x:c>
      <x:c r="G6" s="2" t="str">
        <x:f aca="0">IF(F6&gt;=15,"High",IF(F6&gt;=8,"Medium","Low"))</x:f>
        <x:v>Low</x:v>
      </x:c>
      <x:c r="H6" s="2" t="s">
        <x:v>42</x:v>
      </x:c>
      <x:c r="I6" s="2" t="s">
        <x:v>43</x:v>
      </x:c>
      <x:c r="J6" s="2" t="s">
        <x:v>19</x:v>
      </x:c>
      <x:c r="K6" s="3" t="s">
        <x:v>44</x:v>
      </x:c>
      <x:c r="L6" s="3" t="s">
        <x:v>21</x:v>
      </x:c>
      <x:c r="M6" s="2" t="s">
        <x:v>21</x:v>
      </x:c>
      <x:c r="N6" s="3" t="s">
        <x:v>21</x:v>
      </x:c>
    </x:row>
    <x:row r="7" ht="69.75" hidden="0" customHeight="1">
      <x:c r="A7" s="2" t="s">
        <x:v>45</x:v>
      </x:c>
      <x:c r="B7" s="2" t="s">
        <x:v>46</x:v>
      </x:c>
      <x:c r="C7" s="2" t="s">
        <x:v>35</x:v>
      </x:c>
      <x:c r="D7" s="2" t="n">
        <x:v>2</x:v>
      </x:c>
      <x:c r="E7" s="2" t="n">
        <x:v>4</x:v>
      </x:c>
      <x:c r="F7" s="2" t="n">
        <x:f aca="0">D7*E7</x:f>
        <x:v>8</x:v>
      </x:c>
      <x:c r="G7" s="2" t="str">
        <x:f aca="0">IF(F7&gt;=15,"High",IF(F7&gt;=8,"Medium","Low"))</x:f>
        <x:v>Medium</x:v>
      </x:c>
      <x:c r="H7" s="2" t="s">
        <x:v>47</x:v>
      </x:c>
      <x:c r="I7" s="2" t="s">
        <x:v>48</x:v>
      </x:c>
      <x:c r="J7" s="2" t="s">
        <x:v>49</x:v>
      </x:c>
      <x:c r="K7" s="3" t="s">
        <x:v>44</x:v>
      </x:c>
      <x:c r="L7" s="3" t="s">
        <x:v>21</x:v>
      </x:c>
      <x:c r="M7" s="2" t="s">
        <x:v>21</x:v>
      </x:c>
      <x:c r="N7" s="3" t="s">
        <x:v>21</x:v>
      </x:c>
    </x:row>
    <x:row r="8" ht="69.75" hidden="0" customHeight="1">
      <x:c r="A8" s="2" t="s">
        <x:v>50</x:v>
      </x:c>
      <x:c r="B8" s="2" t="s">
        <x:v>51</x:v>
      </x:c>
      <x:c r="C8" s="2" t="s">
        <x:v>24</x:v>
      </x:c>
      <x:c r="D8" s="2" t="n">
        <x:v>2</x:v>
      </x:c>
      <x:c r="E8" s="2" t="n">
        <x:v>3</x:v>
      </x:c>
      <x:c r="F8" s="2" t="n">
        <x:f aca="0">D8*E8</x:f>
        <x:v>6</x:v>
      </x:c>
      <x:c r="G8" s="2" t="str">
        <x:f aca="0">IF(F8&gt;=15,"High",IF(F8&gt;=8,"Medium","Low"))</x:f>
        <x:v>Low</x:v>
      </x:c>
      <x:c r="H8" s="2" t="s">
        <x:v>52</x:v>
      </x:c>
      <x:c r="I8" s="2" t="s">
        <x:v>53</x:v>
      </x:c>
      <x:c r="J8" s="2" t="s">
        <x:v>54</x:v>
      </x:c>
      <x:c r="K8" s="3" t="s">
        <x:v>55</x:v>
      </x:c>
      <x:c r="L8" s="3" t="s">
        <x:v>21</x:v>
      </x:c>
      <x:c r="M8" s="2" t="s">
        <x:v>21</x:v>
      </x:c>
      <x:c r="N8" s="3" t="s">
        <x:v>21</x:v>
      </x:c>
    </x:row>
    <x:row r="9" ht="69.75" hidden="0" customHeight="1">
      <x:c r="A9" s="2" t="s">
        <x:v>56</x:v>
      </x:c>
      <x:c r="B9" s="2" t="s">
        <x:v>57</x:v>
      </x:c>
      <x:c r="C9" s="2" t="s">
        <x:v>16</x:v>
      </x:c>
      <x:c r="D9" s="2" t="n">
        <x:v>2</x:v>
      </x:c>
      <x:c r="E9" s="2" t="n">
        <x:v>3</x:v>
      </x:c>
      <x:c r="F9" s="2" t="n">
        <x:f aca="0">D9*E9</x:f>
        <x:v>6</x:v>
      </x:c>
      <x:c r="G9" s="2" t="str">
        <x:f aca="0">IF(F9&gt;=15,"High",IF(F9&gt;=8,"Medium","Low"))</x:f>
        <x:v>Low</x:v>
      </x:c>
      <x:c r="H9" s="2" t="s">
        <x:v>58</x:v>
      </x:c>
      <x:c r="I9" s="2" t="s">
        <x:v>59</x:v>
      </x:c>
      <x:c r="J9" s="2" t="s">
        <x:v>19</x:v>
      </x:c>
      <x:c r="K9" s="3" t="s">
        <x:v>60</x:v>
      </x:c>
      <x:c r="L9" s="3" t="s">
        <x:v>21</x:v>
      </x:c>
      <x:c r="M9" s="2" t="s">
        <x:v>21</x:v>
      </x:c>
      <x:c r="N9" s="3" t="s">
        <x:v>21</x:v>
      </x:c>
    </x:row>
  </x:sheetData>
  <x:conditionalFormatting sqref="G2:G9">
    <x:cfRule type="cellIs" dxfId="0" priority="2" aboveAverage="0" percent="0" bottom="0" operator="equal" rank="0" equalAverage="0">
      <x:formula>"High"</x:formula>
    </x:cfRule>
    <x:cfRule type="cellIs" dxfId="1" priority="3" aboveAverage="0" percent="0" bottom="0" operator="equal" rank="0" equalAverage="0">
      <x:formula>"Medium"</x:formula>
    </x:cfRule>
    <x:cfRule type="cellIs" dxfId="2" priority="4" aboveAverage="0" percent="0" bottom="0" operator="equal" rank="0" equalAverage="0">
      <x:formula>"Low"</x:formula>
    </x:cfRule>
  </x:conditionalFormatting>
  <x:dataValidations count="2">
    <x:dataValidation type="list" errorStyle="stop" operator="between" allowBlank="0" showDropDown="0" showInputMessage="0" showErrorMessage="0" sqref="L2:L9">
      <x:formula1>"Open,In Progress,Blocked,Closed"</x:formula1>
      <x:formula2>0</x:formula2>
    </x:dataValidation>
    <x:dataValidation type="list" errorStyle="stop" operator="between" allowBlank="0" showDropDown="0" showInputMessage="0" showErrorMessage="0" sqref="C2:C9">
      <x:formula1>"Govern,Map,Measure,Manage"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33.75" hidden="0" customHeight="1">
      <x:c r="A1" s="4" t="s">
        <x:v>61</x:v>
      </x:c>
    </x:row>
    <x:row r="2" ht="33.75" hidden="0" customHeight="1">
      <x:c r="A2" s="5" t="s">
        <x:v>62</x:v>
      </x:c>
    </x:row>
    <x:row r="3" ht="9.75" hidden="0" customHeight="1">
      <x:c r="A3" s="5"/>
    </x:row>
    <x:row r="4" ht="33.75" hidden="0" customHeight="1">
      <x:c r="A4" s="4" t="s">
        <x:v>63</x:v>
      </x:c>
    </x:row>
    <x:row r="5" ht="33.75" hidden="0" customHeight="1">
      <x:c r="A5" s="5" t="s">
        <x:v>64</x:v>
      </x:c>
    </x:row>
    <x:row r="6" ht="9.75" hidden="0" customHeight="1">
      <x:c r="A6" s="5"/>
    </x:row>
    <x:row r="7" ht="33.75" hidden="0" customHeight="1">
      <x:c r="A7" s="5" t="s">
        <x:v>65</x:v>
      </x:c>
    </x:row>
    <x:row r="8" ht="9.75" hidden="0" customHeight="1">
      <x:c r="A8" s="5"/>
    </x:row>
    <x:row r="9" ht="33.75" hidden="0" customHeight="1">
      <x:c r="A9" s="5" t="s">
        <x:v>66</x:v>
      </x:c>
    </x:row>
    <x:row r="10" ht="9.75" hidden="0" customHeight="1">
      <x:c r="A10" s="5"/>
    </x:row>
    <x:row r="11" ht="33.75" hidden="0" customHeight="1">
      <x:c r="A11" s="5" t="s">
        <x:v>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4" t="str">
        <x:v>AI Governance Portfolio</x:v>
      </x:c>
      <x:c r="B1" s="14" t="str"/>
    </x:row>
    <x:row r="2">
      <x:c r="A2" s="15" t="str">
        <x:v>Portfolio Owner</x:v>
      </x:c>
      <x:c r="B2" s="15" t="str">
        <x:v>David Amoako-Attah</x:v>
      </x:c>
    </x:row>
    <x:row r="3">
      <x:c r="A3" s="15" t="str">
        <x:v>Role</x:v>
      </x:c>
      <x:c r="B3" s="15" t="str">
        <x:v>AI Governance Analyst</x:v>
      </x:c>
    </x:row>
    <x:row r="4">
      <x:c r="A4" s="15" t="str">
        <x:v>Portfolio Date</x:v>
      </x:c>
      <x:c r="B4" s="18" t="n">
        <x:v>46242</x:v>
      </x:c>
    </x:row>
    <x:row r="5">
      <x:c r="A5" s="15" t="str">
        <x:v>Scenario Start Date</x:v>
      </x:c>
      <x:c r="B5" s="18" t="n">
        <x:v>46242</x:v>
      </x:c>
    </x:row>
    <x:row r="6">
      <x:c r="A6" s="15" t="str">
        <x:v>Target Initial Governance Review</x:v>
      </x:c>
      <x:c r="B6" s="18" t="n">
        <x:v>46249</x:v>
      </x:c>
    </x:row>
    <x:row r="7">
      <x:c r="A7" s="15" t="str">
        <x:v>Note</x:v>
      </x:c>
      <x:c r="B7" s="15" t="str">
        <x:v>Operational business/accountable owners are preserved; this sheet identifies the portfolio author and scenario timeline.</x:v>
      </x:c>
    </x:row>
    <x:row r="9">
      <x:c r="A9" t="str">
        <x:v>Suggested POA&amp;M Milestone</x:v>
      </x:c>
      <x:c r="B9" t="str">
        <x:v>Target Date</x:v>
      </x:c>
    </x:row>
    <x:row r="10">
      <x:c r="A10" t="str">
        <x:v>Assign accountable system owner / approve AUP</x:v>
      </x:c>
      <x:c r="B10" s="20" t="n">
        <x:v>46249</x:v>
      </x:c>
    </x:row>
    <x:row r="11">
      <x:c r="A11" t="str">
        <x:v>Complete site-specific validation study</x:v>
      </x:c>
      <x:c r="B11" s="20" t="n">
        <x:v>46283</x:v>
      </x:c>
    </x:row>
    <x:row r="12">
      <x:c r="A12" t="str">
        <x:v>Establish quarterly performance review</x:v>
      </x:c>
      <x:c r="B12" s="20" t="n">
        <x:v>46332</x:v>
      </x:c>
    </x:row>
  </x:sheetData>
  <x:pageMargins left="0.7" right="0.7" top="0.75" bottom="0.75" header="0.3" footer="0.3"/>
</x:worksheet>
</file>